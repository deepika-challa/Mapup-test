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epi\Downloads\"/>
    </mc:Choice>
  </mc:AlternateContent>
  <xr:revisionPtr revIDLastSave="0" documentId="13_ncr:1_{34525FBA-A609-41B8-A2A8-FFB3D3ED8CF7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Dataset!$H$1:$H$40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D30" i="18" s="1"/>
  <c r="B6" i="18"/>
  <c r="B7" i="18"/>
  <c r="B8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6" i="18"/>
  <c r="B22" i="18"/>
  <c r="B23" i="18"/>
  <c r="B24" i="18"/>
  <c r="B25" i="18"/>
  <c r="B26" i="18"/>
  <c r="B27" i="18"/>
  <c r="B11" i="18"/>
  <c r="B12" i="18"/>
  <c r="B13" i="18"/>
  <c r="B14" i="18"/>
  <c r="B15" i="18"/>
  <c r="B16" i="18"/>
  <c r="B17" i="18"/>
  <c r="B18" i="18"/>
  <c r="B19" i="18"/>
  <c r="B20" i="18"/>
  <c r="B21" i="18"/>
  <c r="B9" i="18"/>
  <c r="B10" i="18"/>
  <c r="Y36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7" i="1"/>
  <c r="Y38" i="1"/>
  <c r="Y39" i="1"/>
  <c r="Y40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3" i="1"/>
  <c r="Y4" i="1"/>
  <c r="Y5" i="1"/>
  <c r="Y2" i="1"/>
  <c r="H43" i="1"/>
  <c r="E28" i="18" l="1"/>
  <c r="D28" i="18"/>
  <c r="F28" i="18"/>
  <c r="C30" i="18"/>
  <c r="B30" i="18"/>
  <c r="B29" i="18"/>
  <c r="F30" i="18"/>
  <c r="C29" i="18"/>
  <c r="E30" i="18"/>
  <c r="D29" i="18"/>
  <c r="B28" i="18"/>
  <c r="E29" i="18"/>
  <c r="C28" i="18"/>
  <c r="F29" i="18"/>
</calcChain>
</file>

<file path=xl/sharedStrings.xml><?xml version="1.0" encoding="utf-8"?>
<sst xmlns="http://schemas.openxmlformats.org/spreadsheetml/2006/main" count="412" uniqueCount="189">
  <si>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</si>
  <si>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</si>
  <si>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</si>
  <si>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</si>
  <si>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</si>
  <si>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</si>
  <si>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</si>
  <si>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</si>
  <si>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</si>
  <si>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</si>
  <si>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</si>
  <si>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</si>
  <si>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</si>
  <si>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</si>
  <si>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</si>
  <si>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</si>
  <si>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</si>
  <si>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</si>
  <si>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</si>
  <si>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</si>
  <si>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</si>
  <si>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</si>
  <si>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</si>
  <si>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</si>
  <si>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</si>
  <si>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</si>
  <si>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</si>
  <si>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</si>
  <si>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</si>
  <si>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</si>
  <si>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</si>
  <si>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</si>
  <si>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</si>
  <si>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</si>
  <si>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</si>
  <si>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</si>
  <si>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</si>
  <si>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</si>
  <si>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</si>
  <si>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</si>
  <si>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</si>
  <si>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</si>
  <si>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</si>
  <si>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</si>
  <si>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</si>
  <si>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</si>
  <si>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</si>
  <si>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</si>
  <si>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</si>
  <si>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</si>
  <si>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</si>
  <si>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</si>
  <si>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</si>
  <si>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</si>
  <si>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</si>
  <si>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</si>
  <si>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</si>
  <si>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</si>
  <si>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</si>
  <si>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</si>
  <si>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</si>
  <si>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</si>
  <si>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</si>
  <si>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</si>
  <si>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</si>
  <si>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</si>
  <si>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</si>
  <si>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</si>
  <si>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</si>
  <si>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</si>
  <si>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</si>
  <si>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</si>
  <si>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</si>
  <si>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</si>
  <si>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</si>
  <si>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</si>
  <si>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</si>
  <si>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</si>
  <si>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</si>
  <si>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</si>
  <si>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</si>
  <si>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</si>
  <si>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</si>
  <si>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</si>
  <si>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</si>
  <si>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</si>
  <si>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</si>
  <si>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</si>
  <si>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</si>
  <si>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</si>
  <si>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</si>
  <si>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</si>
  <si>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</si>
  <si>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</si>
  <si>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</si>
  <si>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</si>
  <si>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</si>
  <si>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</si>
  <si>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</si>
  <si>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</si>
  <si>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</si>
  <si>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</si>
  <si>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</si>
  <si>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</si>
  <si>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</si>
  <si>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</si>
  <si>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</si>
  <si>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</si>
  <si>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</si>
  <si>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</si>
  <si>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</si>
  <si>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</si>
  <si>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</si>
  <si>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</si>
  <si>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</si>
  <si>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</si>
  <si>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</si>
  <si>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</si>
  <si>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</si>
  <si>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</si>
  <si>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</si>
  <si>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</si>
  <si>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</si>
  <si>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</si>
  <si>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</si>
  <si>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</si>
  <si>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</si>
  <si>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</si>
  <si>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</si>
  <si>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</si>
  <si>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</si>
  <si>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</si>
  <si>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</si>
  <si>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</si>
  <si>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</si>
  <si>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</si>
  <si>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</si>
  <si>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</si>
  <si>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</si>
  <si>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</si>
  <si>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</si>
  <si>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</si>
  <si>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</si>
  <si>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</si>
  <si>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</si>
  <si>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</si>
  <si>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</si>
  <si>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</si>
  <si>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</si>
  <si>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</si>
  <si>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</si>
  <si>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</si>
  <si>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</si>
  <si>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</si>
  <si>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</si>
  <si>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</si>
  <si>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</si>
  <si>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</si>
  <si>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</si>
  <si>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</si>
  <si>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</si>
  <si>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</si>
  <si>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</si>
  <si>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</si>
  <si>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</si>
  <si>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</si>
  <si>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</si>
  <si>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</si>
  <si>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</si>
  <si>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</si>
  <si>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</si>
  <si>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</si>
  <si>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</si>
  <si>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</si>
  <si>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</si>
  <si>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</si>
  <si>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</si>
  <si>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The formula is =SUMIF(H2:H40,"&gt;20")</t>
  </si>
  <si>
    <t>Explanation for each task</t>
  </si>
  <si>
    <t>I have used conditional formatting for this to highlight the specific values to have specific color. I have selected the whole excel sheet and done this conditional formatting for both 0 and -1 at the same time</t>
  </si>
  <si>
    <t>To freeze the cells I used freeze panels from the view section. We can directly select to freeze the top rowa</t>
  </si>
  <si>
    <t>I have used the formula and got the answer which is 1473</t>
  </si>
  <si>
    <t>Even for this I have used a formula =TEXT(X36,"YYYY-MM-DD") and sorted every date to a new column</t>
  </si>
  <si>
    <t>I have used the excel In-built functionality. In the top panel in data section there is a option called text to columns in data tools.</t>
  </si>
  <si>
    <t>I have used this in-built functionality as I know that this is the fast paced work to complete all the tasks and delimeter is same if there are any mixed up delimeters then formula can be used. I think either using the formula or functionality the work should be done perfectly with 100% accuracy.</t>
  </si>
  <si>
    <t xml:space="preserve">I have used find and replace functionality from editing tools in the under home section to replace #N/A values with 20. Or else we can use Go to special feature to replace all the values to 20. And the formula to sum the sales is =SUM(C12:C21). </t>
  </si>
  <si>
    <t>Here I have used the in-built functionalities. Even though these changes are few practing this functionalities more and more can make me prepare perfectly for complex data to solve for. And I have done the sum of sales using the sum functionality in the excel as it is the most easiest, accurate, and effiecient way to consider.</t>
  </si>
  <si>
    <t xml:space="preserve">First I have used the Index formula so that the final result needs to be found from this data set. Then I used 2 match functions to have to match it with one function with name 1 from table_c with table_b then another match function to match the name 2 from table_c with table_b this bothes mathes combines and searches for the result from the index function. this is the idea of using this formula. </t>
  </si>
  <si>
    <t>I have used Index, Match and Match formula to get all the values by comparing them from table 2. Formula used: =INDEX($B$10:$J$18, MATCH(A24,$M$10:$M$18,0), MATCH(B24,$M$10:$M$18,0))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</si>
</sst>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4" fontId="3" fillId="6" borderId="0" xfId="0" applyNumberFormat="1" applyFont="1" applyFill="1"/>
    <xf numFmtId="0" fontId="3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1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8" fillId="0" borderId="0" xfId="0" applyFont="1" applyAlignment="1">
      <alignment horizontal="left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3"/>
  <sheetViews>
    <sheetView tabSelected="1" topLeftCell="E1" zoomScaleNormal="100" workbookViewId="0">
      <pane ySplit="1" topLeftCell="A2" activePane="bottomLeft" state="frozen"/>
      <selection pane="bottomLeft" activeCell="H5" sqref="H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0.33203125" style="1" bestFit="1" customWidth="1"/>
    <col min="26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46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46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46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46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46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46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46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46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46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46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46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46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46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46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46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46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46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46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46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46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46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46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46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46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46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46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46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46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46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46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46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46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46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46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46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>TEXT(X36,"YYYY-MM-DD")</f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46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46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46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46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  <row r="43" spans="1:25" x14ac:dyDescent="0.3">
      <c r="H43" s="1">
        <f>SUMIF(H2:H40,"&gt;20")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J2">
    <cfRule type="cellIs" dxfId="3" priority="4" operator="equal">
      <formula>-1</formula>
    </cfRule>
  </conditionalFormatting>
  <conditionalFormatting sqref="A1:X1 A2:C40 E2:X40">
    <cfRule type="cellIs" dxfId="2" priority="3" operator="equal">
      <formula>-1</formula>
    </cfRule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F10" sqref="F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1.6640625" style="1" bestFit="1" customWidth="1"/>
    <col min="4" max="4" width="11" style="1"/>
    <col min="5" max="5" width="14.44140625" style="1" bestFit="1" customWidth="1"/>
    <col min="6" max="6" width="35.77734375" style="1" customWidth="1"/>
    <col min="7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176</v>
      </c>
      <c r="F1" s="1" t="s">
        <v>178</v>
      </c>
    </row>
    <row r="2" spans="1:6" x14ac:dyDescent="0.3">
      <c r="A2" s="2"/>
      <c r="B2" s="5" t="s">
        <v>160</v>
      </c>
      <c r="C2" s="2"/>
    </row>
    <row r="3" spans="1:6" ht="86.4" x14ac:dyDescent="0.3">
      <c r="A3" s="6">
        <v>1</v>
      </c>
      <c r="B3" s="2" t="s">
        <v>107</v>
      </c>
      <c r="C3" s="2" t="s">
        <v>45</v>
      </c>
      <c r="E3" s="1">
        <v>5</v>
      </c>
      <c r="F3" s="47" t="s">
        <v>179</v>
      </c>
    </row>
    <row r="4" spans="1:6" ht="43.2" x14ac:dyDescent="0.3">
      <c r="A4" s="6">
        <v>2</v>
      </c>
      <c r="B4" s="2" t="s">
        <v>46</v>
      </c>
      <c r="C4" s="2"/>
      <c r="E4" s="1">
        <v>5</v>
      </c>
      <c r="F4" s="47" t="s">
        <v>180</v>
      </c>
    </row>
    <row r="5" spans="1:6" ht="28.8" x14ac:dyDescent="0.3">
      <c r="A5" s="6">
        <v>3</v>
      </c>
      <c r="B5" s="2" t="s">
        <v>104</v>
      </c>
      <c r="C5" s="35" t="s">
        <v>177</v>
      </c>
      <c r="E5" s="1">
        <v>10</v>
      </c>
      <c r="F5" s="47" t="s">
        <v>181</v>
      </c>
    </row>
    <row r="6" spans="1:6" ht="43.2" x14ac:dyDescent="0.3">
      <c r="A6" s="6">
        <v>4</v>
      </c>
      <c r="B6" s="2" t="s">
        <v>106</v>
      </c>
      <c r="C6" s="2"/>
      <c r="E6" s="1">
        <v>5</v>
      </c>
      <c r="F6" s="47" t="s">
        <v>182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3" sqref="H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_xlfn.XLOOKUP(A6,Dataset!A2:A40,Dataset!G2:G40)</f>
        <v>2.7</v>
      </c>
      <c r="C6" s="12">
        <f>_xlfn.XLOOKUP(A6,Dataset!A2:A40,Dataset!N2:N40)</f>
        <v>7.6</v>
      </c>
      <c r="D6" s="12">
        <f>_xlfn.XLOOKUP(A6,Dataset!A2:A40,Dataset!R2:R40)</f>
        <v>4.2</v>
      </c>
      <c r="E6" s="12">
        <f>_xlfn.XLOOKUP(A6,Dataset!A2:A40,Dataset!T2:T40)</f>
        <v>8.9</v>
      </c>
      <c r="F6" s="8">
        <f>_xlfn.XLOOKUP(A6,Dataset!A2:A40,Dataset!V2:V40)</f>
        <v>4.2</v>
      </c>
    </row>
    <row r="7" spans="1:7" ht="14.4" x14ac:dyDescent="0.3">
      <c r="A7" s="7" t="s">
        <v>4</v>
      </c>
      <c r="B7" s="12">
        <f>_xlfn.XLOOKUP(A7,Dataset!A1:A39,Dataset!G1:G39)</f>
        <v>2.7</v>
      </c>
      <c r="C7" s="12">
        <f>_xlfn.XLOOKUP(A7,Dataset!A3:A41,Dataset!N3:N41)</f>
        <v>7.6</v>
      </c>
      <c r="D7" s="12">
        <f>_xlfn.XLOOKUP(A7,Dataset!A3:A41,Dataset!R3:R41)</f>
        <v>4.2</v>
      </c>
      <c r="E7" s="12">
        <f>_xlfn.XLOOKUP(A7,Dataset!A3:A41,Dataset!T3:T41)</f>
        <v>8.9</v>
      </c>
      <c r="F7" s="8">
        <f>_xlfn.XLOOKUP(A7,Dataset!A3:A41,Dataset!V3:V41)</f>
        <v>4.2</v>
      </c>
    </row>
    <row r="8" spans="1:7" ht="14.4" x14ac:dyDescent="0.3">
      <c r="A8" s="7" t="s">
        <v>7</v>
      </c>
      <c r="B8" s="12">
        <f>_xlfn.XLOOKUP(A8,Dataset!A2:A40,Dataset!G2:G40)</f>
        <v>3.6</v>
      </c>
      <c r="C8" s="12">
        <f>_xlfn.XLOOKUP(A8,Dataset!A4:A42,Dataset!N4:N42)</f>
        <v>11.1</v>
      </c>
      <c r="D8" s="12">
        <f>_xlfn.XLOOKUP(A8,Dataset!A4:A42,Dataset!R4:R42)</f>
        <v>5.8</v>
      </c>
      <c r="E8" s="12">
        <f>_xlfn.XLOOKUP(A8,Dataset!A4:A42,Dataset!T4:T42)</f>
        <v>12.2</v>
      </c>
      <c r="F8" s="8">
        <f>_xlfn.XLOOKUP(A8,Dataset!A4:A42,Dataset!V4:V42)</f>
        <v>5.8</v>
      </c>
    </row>
    <row r="9" spans="1:7" ht="14.4" x14ac:dyDescent="0.3">
      <c r="A9" s="7" t="s">
        <v>8</v>
      </c>
      <c r="B9" s="12">
        <f>_xlfn.XLOOKUP(A9,Dataset!A3:A41,Dataset!G3:G41)</f>
        <v>4.9000000000000004</v>
      </c>
      <c r="C9" s="12">
        <f>_xlfn.XLOOKUP(A9,Dataset!A5:A43,Dataset!N5:N43)</f>
        <v>13.3</v>
      </c>
      <c r="D9" s="12">
        <f>_xlfn.XLOOKUP(A9,Dataset!A5:A43,Dataset!R5:R43)</f>
        <v>8.1</v>
      </c>
      <c r="E9" s="12">
        <f>_xlfn.XLOOKUP(A9,Dataset!A5:A43,Dataset!T5:T43)</f>
        <v>17</v>
      </c>
      <c r="F9" s="8">
        <f>_xlfn.XLOOKUP(A9,Dataset!A5:A43,Dataset!V5:V43)</f>
        <v>8.1</v>
      </c>
    </row>
    <row r="10" spans="1:7" ht="14.4" x14ac:dyDescent="0.3">
      <c r="A10" s="7" t="s">
        <v>11</v>
      </c>
      <c r="B10" s="12">
        <f>_xlfn.XLOOKUP(A10,Dataset!A4:A42,Dataset!G4:G42)</f>
        <v>9.4</v>
      </c>
      <c r="C10" s="12">
        <f>_xlfn.XLOOKUP(A10,Dataset!A6:A44,Dataset!N6:N44)</f>
        <v>28.3</v>
      </c>
      <c r="D10" s="12">
        <f>_xlfn.XLOOKUP(A10,Dataset!A6:A44,Dataset!R6:R44)</f>
        <v>16.100000000000001</v>
      </c>
      <c r="E10" s="12">
        <f>_xlfn.XLOOKUP(A10,Dataset!A6:A44,Dataset!T6:T44)</f>
        <v>32.799999999999997</v>
      </c>
      <c r="F10" s="8">
        <f>_xlfn.XLOOKUP(A10,Dataset!A6:A44,Dataset!V6:V44)</f>
        <v>16.100000000000001</v>
      </c>
    </row>
    <row r="11" spans="1:7" ht="14.4" x14ac:dyDescent="0.3">
      <c r="A11" s="7" t="s">
        <v>12</v>
      </c>
      <c r="B11" s="12">
        <f>_xlfn.XLOOKUP(A11,Dataset!A5:A43,Dataset!G5:G43)</f>
        <v>11.6</v>
      </c>
      <c r="C11" s="12">
        <f>_xlfn.XLOOKUP(A11,Dataset!A7:A45,Dataset!N7:N45)</f>
        <v>35.200000000000003</v>
      </c>
      <c r="D11" s="12">
        <f>_xlfn.XLOOKUP(A11,Dataset!A7:A45,Dataset!R7:R45)</f>
        <v>21.3</v>
      </c>
      <c r="E11" s="12">
        <f>_xlfn.XLOOKUP(A11,Dataset!A7:A45,Dataset!T7:T45)</f>
        <v>43</v>
      </c>
      <c r="F11" s="8">
        <f>_xlfn.XLOOKUP(A11,Dataset!A7:A45,Dataset!V7:V45)</f>
        <v>21.3</v>
      </c>
    </row>
    <row r="12" spans="1:7" ht="14.4" x14ac:dyDescent="0.3">
      <c r="A12" s="7" t="s">
        <v>14</v>
      </c>
      <c r="B12" s="12">
        <f>_xlfn.XLOOKUP(A12,Dataset!A6:A44,Dataset!G6:G44)</f>
        <v>18.399999999999999</v>
      </c>
      <c r="C12" s="12">
        <f>_xlfn.XLOOKUP(A12,Dataset!A8:A46,Dataset!N8:N46)</f>
        <v>55.6</v>
      </c>
      <c r="D12" s="12">
        <f>_xlfn.XLOOKUP(A12,Dataset!A8:A46,Dataset!R8:R46)</f>
        <v>33.799999999999997</v>
      </c>
      <c r="E12" s="12">
        <f>_xlfn.XLOOKUP(A12,Dataset!A8:A46,Dataset!T8:T46)</f>
        <v>67.900000000000006</v>
      </c>
      <c r="F12" s="8">
        <f>_xlfn.XLOOKUP(A12,Dataset!A8:A46,Dataset!V8:V46)</f>
        <v>33.799999999999997</v>
      </c>
    </row>
    <row r="13" spans="1:7" ht="14.4" x14ac:dyDescent="0.3">
      <c r="A13" s="7" t="s">
        <v>15</v>
      </c>
      <c r="B13" s="12">
        <f>_xlfn.XLOOKUP(A13,Dataset!A7:A45,Dataset!G7:G45)</f>
        <v>0</v>
      </c>
      <c r="C13" s="12">
        <f>_xlfn.XLOOKUP(A13,Dataset!A9:A47,Dataset!N9:N47)</f>
        <v>0</v>
      </c>
      <c r="D13" s="12">
        <f>_xlfn.XLOOKUP(A13,Dataset!A9:A47,Dataset!R9:R47)</f>
        <v>0</v>
      </c>
      <c r="E13" s="12">
        <f>_xlfn.XLOOKUP(A13,Dataset!A9:A47,Dataset!T9:T47)</f>
        <v>0</v>
      </c>
      <c r="F13" s="8">
        <f>_xlfn.XLOOKUP(A13,Dataset!A9:A47,Dataset!V9:V47)</f>
        <v>0</v>
      </c>
    </row>
    <row r="14" spans="1:7" ht="14.4" x14ac:dyDescent="0.3">
      <c r="A14" s="7" t="s">
        <v>16</v>
      </c>
      <c r="B14" s="12">
        <f>_xlfn.XLOOKUP(A14,Dataset!A8:A46,Dataset!G8:G46)</f>
        <v>21.9</v>
      </c>
      <c r="C14" s="12">
        <f>_xlfn.XLOOKUP(A14,Dataset!A10:A48,Dataset!N10:N48)</f>
        <v>61.5</v>
      </c>
      <c r="D14" s="12">
        <f>_xlfn.XLOOKUP(A14,Dataset!A10:A48,Dataset!R10:R48)</f>
        <v>40.1</v>
      </c>
      <c r="E14" s="12">
        <f>_xlfn.XLOOKUP(A14,Dataset!A10:A48,Dataset!T10:T48)</f>
        <v>76.599999999999994</v>
      </c>
      <c r="F14" s="8">
        <f>_xlfn.XLOOKUP(A14,Dataset!A10:A48,Dataset!V10:V48)</f>
        <v>40.1</v>
      </c>
    </row>
    <row r="15" spans="1:7" ht="14.4" x14ac:dyDescent="0.3">
      <c r="A15" s="7" t="s">
        <v>18</v>
      </c>
      <c r="B15" s="12">
        <f>_xlfn.XLOOKUP(A15,Dataset!A9:A47,Dataset!G9:G47)</f>
        <v>26.8</v>
      </c>
      <c r="C15" s="12">
        <f>_xlfn.XLOOKUP(A15,Dataset!A11:A49,Dataset!N11:N49)</f>
        <v>79.599999999999994</v>
      </c>
      <c r="D15" s="12">
        <f>_xlfn.XLOOKUP(A15,Dataset!A11:A49,Dataset!R11:R49)</f>
        <v>47.9</v>
      </c>
      <c r="E15" s="12">
        <f>_xlfn.XLOOKUP(A15,Dataset!A11:A49,Dataset!T11:T49)</f>
        <v>96.8</v>
      </c>
      <c r="F15" s="8">
        <f>_xlfn.XLOOKUP(A15,Dataset!A11:A49,Dataset!V11:V49)</f>
        <v>47.9</v>
      </c>
    </row>
    <row r="16" spans="1:7" ht="14.4" x14ac:dyDescent="0.3">
      <c r="A16" s="7" t="s">
        <v>20</v>
      </c>
      <c r="B16" s="12">
        <f>_xlfn.XLOOKUP(A16,Dataset!A10:A48,Dataset!G10:G48)</f>
        <v>28.5</v>
      </c>
      <c r="C16" s="12">
        <f>_xlfn.XLOOKUP(A16,Dataset!A12:A50,Dataset!N12:N50)</f>
        <v>85.4</v>
      </c>
      <c r="D16" s="12">
        <f>_xlfn.XLOOKUP(A16,Dataset!A12:A50,Dataset!R12:R50)</f>
        <v>52.3</v>
      </c>
      <c r="E16" s="12">
        <f>_xlfn.XLOOKUP(A16,Dataset!A12:A50,Dataset!T12:T50)</f>
        <v>106.1</v>
      </c>
      <c r="F16" s="8">
        <f>_xlfn.XLOOKUP(A16,Dataset!A12:A50,Dataset!V12:V50)</f>
        <v>52.3</v>
      </c>
    </row>
    <row r="17" spans="1:6" ht="14.4" x14ac:dyDescent="0.3">
      <c r="A17" s="7" t="s">
        <v>22</v>
      </c>
      <c r="B17" s="12">
        <f>_xlfn.XLOOKUP(A17,Dataset!A11:A49,Dataset!G11:G49)</f>
        <v>30.7</v>
      </c>
      <c r="C17" s="12">
        <f>_xlfn.XLOOKUP(A17,Dataset!A13:A51,Dataset!N13:N51)</f>
        <v>92.1</v>
      </c>
      <c r="D17" s="12">
        <f>_xlfn.XLOOKUP(A17,Dataset!A13:A51,Dataset!R13:R51)</f>
        <v>57</v>
      </c>
      <c r="E17" s="12">
        <f>_xlfn.XLOOKUP(A17,Dataset!A13:A51,Dataset!T13:T51)</f>
        <v>115.1</v>
      </c>
      <c r="F17" s="8">
        <f>_xlfn.XLOOKUP(A17,Dataset!A13:A51,Dataset!V13:V51)</f>
        <v>57</v>
      </c>
    </row>
    <row r="18" spans="1:6" ht="14.4" x14ac:dyDescent="0.3">
      <c r="A18" s="7" t="s">
        <v>23</v>
      </c>
      <c r="B18" s="12">
        <f>_xlfn.XLOOKUP(A18,Dataset!A12:A50,Dataset!G12:G50)</f>
        <v>33.799999999999997</v>
      </c>
      <c r="C18" s="12">
        <f>_xlfn.XLOOKUP(A18,Dataset!A14:A52,Dataset!N14:N52)</f>
        <v>101.3</v>
      </c>
      <c r="D18" s="12">
        <f>_xlfn.XLOOKUP(A18,Dataset!A14:A52,Dataset!R14:R52)</f>
        <v>61.4</v>
      </c>
      <c r="E18" s="12">
        <f>_xlfn.XLOOKUP(A18,Dataset!A14:A52,Dataset!T14:T52)</f>
        <v>124.4</v>
      </c>
      <c r="F18" s="8">
        <f>_xlfn.XLOOKUP(A18,Dataset!A14:A52,Dataset!V14:V52)</f>
        <v>61.4</v>
      </c>
    </row>
    <row r="19" spans="1:6" ht="14.4" x14ac:dyDescent="0.3">
      <c r="A19" s="7" t="s">
        <v>24</v>
      </c>
      <c r="B19" s="12">
        <f>_xlfn.XLOOKUP(A19,Dataset!A13:A51,Dataset!G13:G51)</f>
        <v>34.700000000000003</v>
      </c>
      <c r="C19" s="12">
        <f>_xlfn.XLOOKUP(A19,Dataset!A15:A53,Dataset!N15:N53)</f>
        <v>106.1</v>
      </c>
      <c r="D19" s="12">
        <f>_xlfn.XLOOKUP(A19,Dataset!A15:A53,Dataset!R15:R53)</f>
        <v>63.6</v>
      </c>
      <c r="E19" s="12">
        <f>_xlfn.XLOOKUP(A19,Dataset!A15:A53,Dataset!T15:T53)</f>
        <v>128.6</v>
      </c>
      <c r="F19" s="8">
        <f>_xlfn.XLOOKUP(A19,Dataset!A15:A53,Dataset!V15:V53)</f>
        <v>63.6</v>
      </c>
    </row>
    <row r="20" spans="1:6" ht="14.4" x14ac:dyDescent="0.3">
      <c r="A20" s="7" t="s">
        <v>28</v>
      </c>
      <c r="B20" s="12">
        <f>_xlfn.XLOOKUP(A20,Dataset!A14:A52,Dataset!G14:G52)</f>
        <v>0</v>
      </c>
      <c r="C20" s="12">
        <f>_xlfn.XLOOKUP(A20,Dataset!A16:A54,Dataset!N16:N54)</f>
        <v>0</v>
      </c>
      <c r="D20" s="12">
        <f>_xlfn.XLOOKUP(A20,Dataset!A16:A54,Dataset!R16:R54)</f>
        <v>0</v>
      </c>
      <c r="E20" s="12">
        <f>_xlfn.XLOOKUP(A20,Dataset!A16:A54,Dataset!T16:T54)</f>
        <v>0</v>
      </c>
      <c r="F20" s="8">
        <f>_xlfn.XLOOKUP(A20,Dataset!A16:A54,Dataset!V16:V54)</f>
        <v>0</v>
      </c>
    </row>
    <row r="21" spans="1:6" ht="14.4" x14ac:dyDescent="0.3">
      <c r="A21" s="7" t="s">
        <v>57</v>
      </c>
      <c r="B21" s="12">
        <f>_xlfn.XLOOKUP(A21,Dataset!A15:A53,Dataset!G15:G53)</f>
        <v>41.3</v>
      </c>
      <c r="C21" s="12">
        <f>_xlfn.XLOOKUP(A21,Dataset!A17:A55,Dataset!N17:N55)</f>
        <v>124.4</v>
      </c>
      <c r="D21" s="12">
        <f>_xlfn.XLOOKUP(A21,Dataset!A17:A55,Dataset!R17:R55)</f>
        <v>75</v>
      </c>
      <c r="E21" s="12">
        <f>_xlfn.XLOOKUP(A21,Dataset!A17:A55,Dataset!T17:T55)</f>
        <v>151.5</v>
      </c>
      <c r="F21" s="8">
        <f>_xlfn.XLOOKUP(A21,Dataset!A17:A55,Dataset!V17:V55)</f>
        <v>75</v>
      </c>
    </row>
    <row r="22" spans="1:6" ht="14.4" x14ac:dyDescent="0.3">
      <c r="A22" s="7" t="s">
        <v>58</v>
      </c>
      <c r="B22" s="12">
        <f>_xlfn.XLOOKUP(A22,Dataset!A16:A54,Dataset!G16:G54)</f>
        <v>-1</v>
      </c>
      <c r="C22" s="12">
        <f>_xlfn.XLOOKUP(A22,Dataset!A18:A56,Dataset!N18:N56)</f>
        <v>-1</v>
      </c>
      <c r="D22" s="12">
        <f>_xlfn.XLOOKUP(A22,Dataset!A18:A56,Dataset!R18:R56)</f>
        <v>-1</v>
      </c>
      <c r="E22" s="12">
        <f>_xlfn.XLOOKUP(A22,Dataset!A18:A56,Dataset!T18:T56)</f>
        <v>-1</v>
      </c>
      <c r="F22" s="8">
        <f>_xlfn.XLOOKUP(A22,Dataset!A18:A56,Dataset!V18:V56)</f>
        <v>-1</v>
      </c>
    </row>
    <row r="23" spans="1:6" ht="14.4" x14ac:dyDescent="0.3">
      <c r="A23" s="7" t="s">
        <v>31</v>
      </c>
      <c r="B23" s="12">
        <f>_xlfn.XLOOKUP(A23,Dataset!A17:A55,Dataset!G17:G55)</f>
        <v>45</v>
      </c>
      <c r="C23" s="12">
        <f>_xlfn.XLOOKUP(A23,Dataset!A19:A57,Dataset!N19:N57)</f>
        <v>133.4</v>
      </c>
      <c r="D23" s="12">
        <f>_xlfn.XLOOKUP(A23,Dataset!A19:A57,Dataset!R19:R57)</f>
        <v>79.400000000000006</v>
      </c>
      <c r="E23" s="12">
        <f>_xlfn.XLOOKUP(A23,Dataset!A19:A57,Dataset!T19:T57)</f>
        <v>160.9</v>
      </c>
      <c r="F23" s="8">
        <f>_xlfn.XLOOKUP(A23,Dataset!A19:A57,Dataset!V19:V57)</f>
        <v>79.400000000000006</v>
      </c>
    </row>
    <row r="24" spans="1:6" ht="14.4" x14ac:dyDescent="0.3">
      <c r="A24" s="7" t="s">
        <v>32</v>
      </c>
      <c r="B24" s="12">
        <f>_xlfn.XLOOKUP(A24,Dataset!A18:A56,Dataset!G18:G56)</f>
        <v>-1</v>
      </c>
      <c r="C24" s="12">
        <f>_xlfn.XLOOKUP(A24,Dataset!A20:A58,Dataset!N20:N58)</f>
        <v>-1</v>
      </c>
      <c r="D24" s="12">
        <f>_xlfn.XLOOKUP(A24,Dataset!A20:A58,Dataset!R20:R58)</f>
        <v>-1</v>
      </c>
      <c r="E24" s="12">
        <f>_xlfn.XLOOKUP(A24,Dataset!A20:A58,Dataset!T20:T58)</f>
        <v>-1</v>
      </c>
      <c r="F24" s="8">
        <f>_xlfn.XLOOKUP(A24,Dataset!A20:A58,Dataset!V20:V58)</f>
        <v>-1</v>
      </c>
    </row>
    <row r="25" spans="1:6" ht="14.4" x14ac:dyDescent="0.3">
      <c r="A25" s="7" t="s">
        <v>34</v>
      </c>
      <c r="B25" s="12">
        <f>_xlfn.XLOOKUP(A25,Dataset!A19:A57,Dataset!G19:G57)</f>
        <v>43.3</v>
      </c>
      <c r="C25" s="12">
        <f>_xlfn.XLOOKUP(A25,Dataset!A21:A59,Dataset!N21:N59)</f>
        <v>128.6</v>
      </c>
      <c r="D25" s="12">
        <f>_xlfn.XLOOKUP(A25,Dataset!A21:A59,Dataset!R21:R59)</f>
        <v>79.400000000000006</v>
      </c>
      <c r="E25" s="12">
        <f>_xlfn.XLOOKUP(A25,Dataset!A21:A59,Dataset!T21:T59)</f>
        <v>160.9</v>
      </c>
      <c r="F25" s="8">
        <f>_xlfn.XLOOKUP(A25,Dataset!A21:A59,Dataset!V21:V59)</f>
        <v>79.400000000000006</v>
      </c>
    </row>
    <row r="26" spans="1:6" ht="14.4" x14ac:dyDescent="0.3">
      <c r="A26" s="7" t="s">
        <v>37</v>
      </c>
      <c r="B26" s="12">
        <f>_xlfn.XLOOKUP(A26,Dataset!A20:A58,Dataset!G20:G58)</f>
        <v>49.1</v>
      </c>
      <c r="C26" s="12">
        <f>_xlfn.XLOOKUP(A26,Dataset!A22:A60,Dataset!N22:N60)</f>
        <v>146.80000000000001</v>
      </c>
      <c r="D26" s="12">
        <f>_xlfn.XLOOKUP(A26,Dataset!A22:A60,Dataset!R22:R60)</f>
        <v>90.9</v>
      </c>
      <c r="E26" s="12">
        <f>_xlfn.XLOOKUP(A26,Dataset!A22:A60,Dataset!T22:T60)</f>
        <v>183.5</v>
      </c>
      <c r="F26" s="8">
        <f>_xlfn.XLOOKUP(A26,Dataset!A22:A60,Dataset!V22:V60)</f>
        <v>90.9</v>
      </c>
    </row>
    <row r="27" spans="1:6" ht="14.4" x14ac:dyDescent="0.3">
      <c r="A27" s="7" t="s">
        <v>39</v>
      </c>
      <c r="B27" s="12">
        <f>_xlfn.XLOOKUP(A27,Dataset!A21:A59,Dataset!G21:G59)</f>
        <v>51.8</v>
      </c>
      <c r="C27" s="12">
        <f>_xlfn.XLOOKUP(A27,Dataset!A23:A61,Dataset!N23:N61)</f>
        <v>156.4</v>
      </c>
      <c r="D27" s="12">
        <f>_xlfn.XLOOKUP(A27,Dataset!A23:A61,Dataset!R23:R61)</f>
        <v>93.1</v>
      </c>
      <c r="E27" s="12">
        <f>_xlfn.XLOOKUP(A27,Dataset!A23:A61,Dataset!T23:T61)</f>
        <v>188.1</v>
      </c>
      <c r="F27" s="8">
        <f>_xlfn.XLOOKUP(A27,Dataset!A23:A61,Dataset!V23:V61)</f>
        <v>93.1</v>
      </c>
    </row>
    <row r="28" spans="1:6" ht="14.4" x14ac:dyDescent="0.3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4.4" x14ac:dyDescent="0.3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6" ht="14.4" x14ac:dyDescent="0.3">
      <c r="A30" s="19" t="s">
        <v>84</v>
      </c>
      <c r="B30" s="32">
        <f>AVERAGE(B6:B27)</f>
        <v>20.827272727272728</v>
      </c>
      <c r="C30" s="32">
        <f t="shared" ref="C30:F30" si="0">AVERAGE(C6:C27)</f>
        <v>62.377272727272725</v>
      </c>
      <c r="D30" s="32">
        <f t="shared" si="0"/>
        <v>37.800000000000004</v>
      </c>
      <c r="E30" s="32">
        <f>AVERAGE(E6:E27)</f>
        <v>76.418181818181822</v>
      </c>
      <c r="F30" s="32">
        <f t="shared" si="0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zoomScaleNormal="100" workbookViewId="0">
      <selection activeCell="B6" sqref="B6:L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2" s="42" customFormat="1" ht="21" x14ac:dyDescent="0.4">
      <c r="A1" s="43" t="s">
        <v>56</v>
      </c>
      <c r="B1" s="42" t="s">
        <v>174</v>
      </c>
    </row>
    <row r="2" spans="1:12" customFormat="1" ht="13.2" x14ac:dyDescent="0.25"/>
    <row r="3" spans="1:12" s="2" customFormat="1" x14ac:dyDescent="0.3">
      <c r="B3" s="1"/>
    </row>
    <row r="4" spans="1:12" s="2" customFormat="1" x14ac:dyDescent="0.3">
      <c r="B4" s="1" t="s">
        <v>151</v>
      </c>
    </row>
    <row r="5" spans="1:12" ht="18" x14ac:dyDescent="0.35">
      <c r="A5" s="44" t="s">
        <v>53</v>
      </c>
      <c r="B5" s="50" t="s">
        <v>183</v>
      </c>
      <c r="C5" s="51"/>
      <c r="D5" s="51"/>
      <c r="E5" s="51"/>
      <c r="F5" s="51"/>
      <c r="G5" s="51"/>
      <c r="H5" s="51"/>
      <c r="I5" s="51"/>
      <c r="J5" s="51"/>
      <c r="K5" s="51"/>
      <c r="L5" s="51"/>
    </row>
    <row r="6" spans="1:12" ht="51.6" customHeight="1" x14ac:dyDescent="0.35">
      <c r="A6" s="44" t="s">
        <v>153</v>
      </c>
      <c r="B6" s="52" t="s">
        <v>184</v>
      </c>
      <c r="C6" s="52"/>
      <c r="D6" s="52"/>
      <c r="E6" s="52"/>
      <c r="F6" s="52"/>
      <c r="G6" s="52"/>
      <c r="H6" s="52"/>
      <c r="I6" s="52"/>
      <c r="J6" s="52"/>
      <c r="K6" s="52"/>
      <c r="L6" s="52"/>
    </row>
    <row r="7" spans="1:12" ht="18" x14ac:dyDescent="0.35">
      <c r="A7" s="44"/>
      <c r="B7" s="41"/>
    </row>
    <row r="9" spans="1:12" ht="23.4" x14ac:dyDescent="0.45">
      <c r="A9" s="18" t="s">
        <v>165</v>
      </c>
      <c r="I9" s="2"/>
      <c r="J9" s="2"/>
    </row>
    <row r="10" spans="1:12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48"/>
      <c r="J10" s="2"/>
    </row>
    <row r="11" spans="1:12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2" ht="23.4" x14ac:dyDescent="0.45">
      <c r="A14" s="18" t="s">
        <v>162</v>
      </c>
    </row>
    <row r="15" spans="1:12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2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sortState xmlns:xlrd2="http://schemas.microsoft.com/office/spreadsheetml/2017/richdata2" ref="A16:F16">
    <sortCondition ref="A16" customList="-"/>
  </sortState>
  <mergeCells count="2">
    <mergeCell ref="B5:L5"/>
    <mergeCell ref="B6:L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topLeftCell="A2" zoomScaleNormal="100" workbookViewId="0">
      <selection activeCell="B7" sqref="B7:J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3" t="s">
        <v>85</v>
      </c>
      <c r="B1" s="42" t="s">
        <v>167</v>
      </c>
    </row>
    <row r="2" spans="1:10" ht="18" x14ac:dyDescent="0.35">
      <c r="B2" s="41" t="s">
        <v>166</v>
      </c>
    </row>
    <row r="5" spans="1:10" ht="14.4" x14ac:dyDescent="0.3">
      <c r="B5" s="1" t="s">
        <v>151</v>
      </c>
    </row>
    <row r="6" spans="1:10" ht="33.6" customHeight="1" x14ac:dyDescent="0.3">
      <c r="A6" s="3" t="s">
        <v>53</v>
      </c>
      <c r="B6" s="53" t="s">
        <v>185</v>
      </c>
      <c r="C6" s="53"/>
      <c r="D6" s="53"/>
      <c r="E6" s="53"/>
      <c r="F6" s="53"/>
      <c r="G6" s="53"/>
      <c r="H6" s="53"/>
      <c r="I6" s="53"/>
      <c r="J6" s="53"/>
    </row>
    <row r="7" spans="1:10" ht="46.2" customHeight="1" x14ac:dyDescent="0.3">
      <c r="A7" s="49" t="s">
        <v>153</v>
      </c>
      <c r="B7" s="54" t="s">
        <v>186</v>
      </c>
      <c r="C7" s="54"/>
      <c r="D7" s="54"/>
      <c r="E7" s="54"/>
      <c r="F7" s="54"/>
      <c r="G7" s="54"/>
      <c r="H7" s="54"/>
      <c r="I7" s="54"/>
      <c r="J7" s="54"/>
    </row>
    <row r="10" spans="1:10" ht="23.4" x14ac:dyDescent="0.45">
      <c r="A10" s="18" t="s">
        <v>162</v>
      </c>
    </row>
    <row r="11" spans="1:10" ht="14.4" x14ac:dyDescent="0.3">
      <c r="A11" s="33" t="s">
        <v>86</v>
      </c>
      <c r="B11" s="17" t="s">
        <v>87</v>
      </c>
      <c r="C11" s="17" t="s">
        <v>88</v>
      </c>
    </row>
    <row r="12" spans="1:10" ht="14.4" x14ac:dyDescent="0.3">
      <c r="A12" s="33">
        <v>44927</v>
      </c>
      <c r="B12" s="17" t="s">
        <v>59</v>
      </c>
      <c r="C12" s="17">
        <v>200</v>
      </c>
    </row>
    <row r="13" spans="1:10" ht="14.4" x14ac:dyDescent="0.3">
      <c r="A13" s="33">
        <v>44928</v>
      </c>
      <c r="B13" s="17" t="s">
        <v>60</v>
      </c>
      <c r="C13" s="17">
        <v>20</v>
      </c>
    </row>
    <row r="14" spans="1:10" ht="14.4" x14ac:dyDescent="0.3">
      <c r="A14" s="33">
        <v>44929</v>
      </c>
      <c r="B14" s="17" t="s">
        <v>61</v>
      </c>
      <c r="C14" s="17">
        <v>50</v>
      </c>
    </row>
    <row r="15" spans="1:10" ht="14.4" x14ac:dyDescent="0.3">
      <c r="A15" s="33">
        <v>44930</v>
      </c>
      <c r="B15" s="17" t="s">
        <v>62</v>
      </c>
      <c r="C15" s="17">
        <v>20</v>
      </c>
    </row>
    <row r="16" spans="1:10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>
        <v>20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mergeCells count="2">
    <mergeCell ref="B6:J6"/>
    <mergeCell ref="B7:J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L11" sqref="L1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31.2" customHeight="1" x14ac:dyDescent="0.35">
      <c r="A4" s="44" t="s">
        <v>53</v>
      </c>
      <c r="B4" s="1"/>
      <c r="C4" s="55" t="s">
        <v>188</v>
      </c>
      <c r="D4" s="55"/>
      <c r="E4" s="55"/>
      <c r="F4" s="55"/>
      <c r="G4" s="55"/>
      <c r="H4" s="55"/>
      <c r="I4" s="55"/>
      <c r="J4" s="55"/>
      <c r="K4" s="55"/>
      <c r="L4" s="55"/>
    </row>
    <row r="5" spans="1:14" ht="44.4" customHeight="1" x14ac:dyDescent="0.35">
      <c r="A5" s="44" t="s">
        <v>153</v>
      </c>
      <c r="B5" s="1"/>
      <c r="C5" s="55" t="s">
        <v>187</v>
      </c>
      <c r="D5" s="55"/>
      <c r="E5" s="55"/>
      <c r="F5" s="55"/>
      <c r="G5" s="55"/>
      <c r="H5" s="55"/>
      <c r="I5" s="55"/>
      <c r="J5" s="55"/>
      <c r="K5" s="55"/>
      <c r="L5" s="55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>
        <f>INDEX($B$10:$J$18, MATCH(A23,$M$10:$M$18,0), MATCH(B23,$M$10:$M$18,0))</f>
        <v>95</v>
      </c>
    </row>
    <row r="24" spans="1:14" ht="14.4" x14ac:dyDescent="0.3">
      <c r="A24" s="7">
        <v>10100</v>
      </c>
      <c r="B24" s="12">
        <v>10104</v>
      </c>
      <c r="C24" s="45">
        <f>INDEX($B$10:$J$18, MATCH(A24,$M$10:$M$18,0), MATCH(B24,$M$10:$M$18,0))</f>
        <v>-1</v>
      </c>
    </row>
    <row r="25" spans="1:14" ht="14.4" x14ac:dyDescent="0.3">
      <c r="A25" s="7">
        <v>10108</v>
      </c>
      <c r="B25" s="12">
        <v>10102</v>
      </c>
      <c r="C25" s="45">
        <f t="shared" ref="C24:C35" si="0">INDEX($B$10:$J$18, MATCH(A25,$M$10:$M$18,0), MATCH(B25,$M$10:$M$18,0))</f>
        <v>160</v>
      </c>
    </row>
    <row r="26" spans="1:14" ht="14.4" x14ac:dyDescent="0.3">
      <c r="A26" s="7">
        <v>10100</v>
      </c>
      <c r="B26" s="12">
        <v>10106</v>
      </c>
      <c r="C26" s="45">
        <f t="shared" si="0"/>
        <v>185</v>
      </c>
    </row>
    <row r="27" spans="1:14" ht="14.4" x14ac:dyDescent="0.3">
      <c r="A27" s="7">
        <v>10108</v>
      </c>
      <c r="B27" s="12">
        <v>10110</v>
      </c>
      <c r="C27" s="45">
        <f t="shared" si="0"/>
        <v>50</v>
      </c>
    </row>
    <row r="28" spans="1:14" ht="14.4" x14ac:dyDescent="0.3">
      <c r="A28" s="7">
        <v>10102</v>
      </c>
      <c r="B28" s="12">
        <v>10104</v>
      </c>
      <c r="C28" s="45">
        <f t="shared" si="0"/>
        <v>-1</v>
      </c>
    </row>
    <row r="29" spans="1:14" ht="14.4" x14ac:dyDescent="0.3">
      <c r="A29" s="7">
        <v>10106</v>
      </c>
      <c r="B29" s="12">
        <v>10108</v>
      </c>
      <c r="C29" s="45">
        <f t="shared" si="0"/>
        <v>70</v>
      </c>
    </row>
    <row r="30" spans="1:14" ht="14.4" x14ac:dyDescent="0.3">
      <c r="A30" s="7">
        <v>10102</v>
      </c>
      <c r="B30" s="12">
        <v>10106</v>
      </c>
      <c r="C30" s="45">
        <f t="shared" si="0"/>
        <v>90</v>
      </c>
    </row>
    <row r="31" spans="1:14" ht="14.4" x14ac:dyDescent="0.3">
      <c r="A31" s="7">
        <v>10110</v>
      </c>
      <c r="B31" s="12">
        <v>10114</v>
      </c>
      <c r="C31" s="45">
        <f t="shared" si="0"/>
        <v>180</v>
      </c>
    </row>
    <row r="32" spans="1:14" ht="14.4" x14ac:dyDescent="0.3">
      <c r="A32" s="7">
        <v>10104</v>
      </c>
      <c r="B32" s="12">
        <v>10106</v>
      </c>
      <c r="C32" s="45">
        <f t="shared" si="0"/>
        <v>60</v>
      </c>
    </row>
    <row r="33" spans="1:3" ht="14.4" x14ac:dyDescent="0.3">
      <c r="A33" s="7">
        <v>10110</v>
      </c>
      <c r="B33" s="12">
        <v>10112</v>
      </c>
      <c r="C33" s="45">
        <f t="shared" si="0"/>
        <v>115</v>
      </c>
    </row>
    <row r="34" spans="1:3" ht="14.4" x14ac:dyDescent="0.3">
      <c r="A34" s="7">
        <v>10100</v>
      </c>
      <c r="B34" s="12">
        <v>10114</v>
      </c>
      <c r="C34" s="45">
        <f t="shared" si="0"/>
        <v>480</v>
      </c>
    </row>
    <row r="35" spans="1:3" ht="14.4" x14ac:dyDescent="0.3">
      <c r="A35" s="9">
        <v>10112</v>
      </c>
      <c r="B35" s="13">
        <v>10116</v>
      </c>
      <c r="C35" s="45">
        <f t="shared" si="0"/>
        <v>105</v>
      </c>
    </row>
  </sheetData>
  <mergeCells count="2">
    <mergeCell ref="C4:L4"/>
    <mergeCell ref="C5:L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deepika deepu</cp:lastModifiedBy>
  <dcterms:created xsi:type="dcterms:W3CDTF">2015-02-10T17:33:11Z</dcterms:created>
  <dcterms:modified xsi:type="dcterms:W3CDTF">2023-12-10T17:13:14Z</dcterms:modified>
</cp:coreProperties>
</file>